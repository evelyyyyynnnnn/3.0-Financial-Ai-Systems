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ummary" sheetId="2" state="visible" r:id="rId2"/>
  </sheets>
  <definedNames>
    <definedName name="_xlnm._FilterDatabase" localSheetId="0" hidden="1">'Projects'!$A$4:$H$20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5F9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5" fillId="5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52" customWidth="1" min="3" max="3"/>
    <col width="62" customWidth="1" min="4" max="4"/>
    <col width="13" customWidth="1" min="5" max="5"/>
    <col width="34" customWidth="1" min="6" max="6"/>
    <col width="34" customWidth="1" min="7" max="7"/>
    <col width="11" customWidth="1" min="8" max="8"/>
  </cols>
  <sheetData>
    <row r="1">
      <c r="A1" s="1" t="inlineStr">
        <is>
          <t>3.0 Financial AI Systems — Project Overview</t>
        </is>
      </c>
    </row>
    <row r="2" ht="26" customHeight="1">
      <c r="A2" s="2" t="inlineStr">
        <is>
          <t>Every project in the repository, including retired, third-party, and planned work. Facts verified against the source tree; 'Source files' counts .py/.js/.cpp/.h/.sol, excluding node_modules and vendored libraries.</t>
        </is>
      </c>
    </row>
    <row r="4" ht="22" customHeight="1">
      <c r="A4" s="3" t="inlineStr">
        <is>
          <t>Site</t>
        </is>
      </c>
      <c r="B4" s="3" t="inlineStr">
        <is>
          <t>Project</t>
        </is>
      </c>
      <c r="C4" s="3" t="inlineStr">
        <is>
          <t>Core idea</t>
        </is>
      </c>
      <c r="D4" s="3" t="inlineStr">
        <is>
          <t>What makes it non-obvious</t>
        </is>
      </c>
      <c r="E4" s="3" t="inlineStr">
        <is>
          <t>Status</t>
        </is>
      </c>
      <c r="F4" s="3" t="inlineStr">
        <is>
          <t>Stack</t>
        </is>
      </c>
      <c r="G4" s="3" t="inlineStr">
        <is>
          <t>Entry point</t>
        </is>
      </c>
      <c r="H4" s="3" t="inlineStr">
        <is>
          <t>Source files</t>
        </is>
      </c>
    </row>
    <row r="5" ht="92" customHeight="1">
      <c r="A5" s="4" t="inlineStr">
        <is>
          <t>project-1</t>
        </is>
      </c>
      <c r="B5" s="5" t="inlineStr">
        <is>
          <t>Portfolio Optimization Engine</t>
        </is>
      </c>
      <c r="C5" s="5" t="inlineStr">
        <is>
          <t>Learn a portfolio allocation policy with reinforcement learning instead of solving a static optimisation once.</t>
        </is>
      </c>
      <c r="D5" s="5" t="inlineStr">
        <is>
          <t>Three agents share one environment — a PPO written from scratch in TensorFlow, plus Stable-Baselines3 SAC (continuous weights) and DQN (discretised grid) — so the same problem is attacked by three different learning regimes and compared.</t>
        </is>
      </c>
      <c r="E5" s="6" t="inlineStr">
        <is>
          <t>Built</t>
        </is>
      </c>
      <c r="F5" s="5" t="inlineStr">
        <is>
          <t>Python, TensorFlow, Stable-Baselines3, Gymnasium, Plotly</t>
        </is>
      </c>
      <c r="G5" s="7" t="inlineStr">
        <is>
          <t>src/main.py</t>
        </is>
      </c>
      <c r="H5" s="4" t="n">
        <v>9</v>
      </c>
    </row>
    <row r="6" ht="92" customHeight="1">
      <c r="A6" s="8" t="inlineStr">
        <is>
          <t>project-1</t>
        </is>
      </c>
      <c r="B6" s="9" t="inlineStr">
        <is>
          <t>Financial Network Risk</t>
        </is>
      </c>
      <c r="C6" s="9" t="inlineStr">
        <is>
          <t>Treat financial risk as a graph problem: build a knowledge graph of entities and relationships, then train GNNs over it.</t>
        </is>
      </c>
      <c r="D6" s="9" t="inlineStr">
        <is>
          <t>Propagation paths are structural, not pairwise. Correlation between two firms says nothing about the third firm that connects them, which is what a graph representation recovers.</t>
        </is>
      </c>
      <c r="E6" s="6" t="inlineStr">
        <is>
          <t>Built</t>
        </is>
      </c>
      <c r="F6" s="9" t="inlineStr">
        <is>
          <t>Python, PyTorch, GNN, NetworkX</t>
        </is>
      </c>
      <c r="G6" s="10" t="inlineStr">
        <is>
          <t>main.py</t>
        </is>
      </c>
      <c r="H6" s="8" t="n">
        <v>6</v>
      </c>
    </row>
    <row r="7" ht="92" customHeight="1">
      <c r="A7" s="4" t="inlineStr">
        <is>
          <t>project-1</t>
        </is>
      </c>
      <c r="B7" s="5" t="inlineStr">
        <is>
          <t>Volatility Forecasting</t>
        </is>
      </c>
      <c r="C7" s="5" t="inlineStr">
        <is>
          <t>Forecast market volatility with LSTM and Transformer models over engineered technical indicators.</t>
        </is>
      </c>
      <c r="D7" s="5" t="inlineStr">
        <is>
          <t>Volatility is the uncertainty term every downstream risk model consumes, so the pipeline is built around calibration: early stopping, Optuna hyperparameter search, and persisted metrics rather than a single fitted model.</t>
        </is>
      </c>
      <c r="E7" s="6" t="inlineStr">
        <is>
          <t>Built</t>
        </is>
      </c>
      <c r="F7" s="5" t="inlineStr">
        <is>
          <t>Python, PyTorch, Transformer, LSTM, Optuna, Docker</t>
        </is>
      </c>
      <c r="G7" s="7" t="inlineStr">
        <is>
          <t>LSTM-Volatility-Prediction/main.py</t>
        </is>
      </c>
      <c r="H7" s="4" t="n">
        <v>14</v>
      </c>
    </row>
    <row r="8" ht="92" customHeight="1">
      <c r="A8" s="8" t="inlineStr">
        <is>
          <t>project-1</t>
        </is>
      </c>
      <c r="B8" s="9" t="inlineStr">
        <is>
          <t>Credit Risk AI</t>
        </is>
      </c>
      <c r="C8" s="9" t="inlineStr">
        <is>
          <t>Model credit risk from three modalities at once — text, market data, and images — rather than from financial ratios alone.</t>
        </is>
      </c>
      <c r="D8" s="9" t="inlineStr">
        <is>
          <t>Credit deterioration usually shows up in language before it shows up in numbers. Fusing a text branch with market and visual signals is an attempt to catch the earlier signal.</t>
        </is>
      </c>
      <c r="E8" s="6" t="inlineStr">
        <is>
          <t>Built</t>
        </is>
      </c>
      <c r="F8" s="9" t="inlineStr">
        <is>
          <t>Python, PyTorch, Transformers, OpenCV, scikit-learn</t>
        </is>
      </c>
      <c r="G8" s="10" t="inlineStr">
        <is>
          <t>train.py</t>
        </is>
      </c>
      <c r="H8" s="8" t="n">
        <v>5</v>
      </c>
    </row>
    <row r="9" ht="92" customHeight="1">
      <c r="A9" s="4" t="inlineStr">
        <is>
          <t>project-1</t>
        </is>
      </c>
      <c r="B9" s="5" t="inlineStr">
        <is>
          <t>Eventized Microstructure LLM</t>
        </is>
      </c>
      <c r="C9" s="5" t="inlineStr">
        <is>
          <t>Tokenise order-book events into sequences so transformer architectures can model market microstructure as a language problem.</t>
        </is>
      </c>
      <c r="D9" s="5" t="inlineStr">
        <is>
          <t>Reframes microstructure from a time-series problem into a sequence-modelling one, which lets slippage, volatility spikes and liquidity crises be predicted with the machinery built for text.</t>
        </is>
      </c>
      <c r="E9" s="11" t="inlineStr">
        <is>
          <t>Research</t>
        </is>
      </c>
      <c r="F9" s="5" t="inlineStr">
        <is>
          <t>LLM, Transformer, Market Microstructure</t>
        </is>
      </c>
      <c r="G9" s="7" t="inlineStr">
        <is>
          <t>Frame-work/Logic-Framework.md</t>
        </is>
      </c>
      <c r="H9" s="4" t="n">
        <v>1</v>
      </c>
    </row>
    <row r="10" ht="92" customHeight="1">
      <c r="A10" s="8" t="inlineStr">
        <is>
          <t>project-1</t>
        </is>
      </c>
      <c r="B10" s="9" t="inlineStr">
        <is>
          <t>Live Trading Engine</t>
        </is>
      </c>
      <c r="C10" s="9" t="inlineStr">
        <is>
          <t>Execute factor strategies against the Alpaca API under real latency constraints, in parallel C++ and Python implementations.</t>
        </is>
      </c>
      <c r="D10" s="9" t="inlineStr">
        <is>
          <t>The execution layer that makes the rest real: a strategy is only a decision framework once it survives microsecond-level order management, risk limits, and live WebSocket market data.</t>
        </is>
      </c>
      <c r="E10" s="6" t="inlineStr">
        <is>
          <t>Built</t>
        </is>
      </c>
      <c r="F10" s="9" t="inlineStr">
        <is>
          <t>C++17, CMake, Boost, WebSocket++, Python, Alpaca API</t>
        </is>
      </c>
      <c r="G10" s="10" t="inlineStr">
        <is>
          <t>C++/main.cpp</t>
        </is>
      </c>
      <c r="H10" s="8" t="n">
        <v>38</v>
      </c>
    </row>
    <row r="11" ht="92" customHeight="1">
      <c r="A11" s="4" t="inlineStr">
        <is>
          <t>project-1</t>
        </is>
      </c>
      <c r="B11" s="5" t="inlineStr">
        <is>
          <t>Trading Simulation Platform</t>
        </is>
      </c>
      <c r="C11" s="5" t="inlineStr">
        <is>
          <t>One platform for market data, portfolio state, strategy backtesting, and investment commentary, with real-time updates.</t>
        </is>
      </c>
      <c r="D11" s="5" t="inlineStr">
        <is>
          <t>Backtesting is the verification step: a strategy claim is only trustworthy once it survives out-of-sample. Absorbed the retired Investment Analysis Dashboard, so it is now the single trading front end.</t>
        </is>
      </c>
      <c r="E11" s="6" t="inlineStr">
        <is>
          <t>Built</t>
        </is>
      </c>
      <c r="F11" s="5" t="inlineStr">
        <is>
          <t>Node.js, Express, Socket.IO, Chart.js, Jest</t>
        </is>
      </c>
      <c r="G11" s="7" t="inlineStr">
        <is>
          <t>server.js</t>
        </is>
      </c>
      <c r="H11" s="4" t="n">
        <v>20</v>
      </c>
    </row>
    <row r="12" ht="92" customHeight="1">
      <c r="A12" s="8" t="inlineStr">
        <is>
          <t>project-1</t>
        </is>
      </c>
      <c r="B12" s="9" t="inlineStr">
        <is>
          <t>Giant Portfolio Tracker</t>
        </is>
      </c>
      <c r="C12" s="9" t="inlineStr">
        <is>
          <t>Make institutional 13F positioning legible and current — searchable by fund, manager, and fund type.</t>
        </is>
      </c>
      <c r="D12" s="9" t="inlineStr">
        <is>
          <t>Market transparency in the literal sense. A scheduled job pulls two Notion databases monthly and commits data.json, which redeploys the site; the page itself never changes.</t>
        </is>
      </c>
      <c r="E12" s="12" t="inlineStr">
        <is>
          <t>Built (live)</t>
        </is>
      </c>
      <c r="F12" s="9" t="inlineStr">
        <is>
          <t>Static HTML, Notion API, GitHub Actions, Python, Vercel</t>
        </is>
      </c>
      <c r="G12" s="10" t="inlineStr">
        <is>
          <t>giant-portfolio/index.html</t>
        </is>
      </c>
      <c r="H12" s="8" t="n">
        <v>1</v>
      </c>
    </row>
    <row r="13" ht="92" customHeight="1">
      <c r="A13" s="4" t="inlineStr">
        <is>
          <t>project-1</t>
        </is>
      </c>
      <c r="B13" s="5" t="inlineStr">
        <is>
          <t>Macroeconomic Data Pipeline</t>
        </is>
      </c>
      <c r="C13" s="5" t="inlineStr">
        <is>
          <t>A notebook that assembles and cleans macroeconomic series for downstream models.</t>
        </is>
      </c>
      <c r="D13" s="5" t="inlineStr">
        <is>
          <t>The shared input layer — the macro variables several of the other projects condition on.</t>
        </is>
      </c>
      <c r="E13" s="11" t="inlineStr">
        <is>
          <t>Research</t>
        </is>
      </c>
      <c r="F13" s="5" t="inlineStr">
        <is>
          <t>Jupyter, Python, pandas</t>
        </is>
      </c>
      <c r="G13" s="7" t="inlineStr">
        <is>
          <t>code-pipeline/macroeconomic-data-pipeline.ipynb</t>
        </is>
      </c>
      <c r="H13" s="4" t="n">
        <v>1</v>
      </c>
    </row>
    <row r="14" ht="92" customHeight="1">
      <c r="A14" s="8" t="inlineStr">
        <is>
          <t>project-2</t>
        </is>
      </c>
      <c r="B14" s="9" t="inlineStr">
        <is>
          <t>Filing Intelligence</t>
        </is>
      </c>
      <c r="C14" s="9" t="inlineStr">
        <is>
          <t>Report what CHANGED in a company's SEC risk disclosures since its prior filing, rather than summarising the filing.</t>
        </is>
      </c>
      <c r="D14" s="9" t="inlineStr">
        <is>
          <t>Scores by CONTAINMENT, not similarity. difflib's ratio() is symmetric, so a risk factor kept word-for-word and then extended with a new admission scores low purely because the new sentence is longer — and the escalation gets misfiled as a brand-new disclosure. Containment asks how much of the prior sentence survives inside the current one, so the extended version is correctly read as the same disclosure, escalated.</t>
        </is>
      </c>
      <c r="E14" s="6" t="inlineStr">
        <is>
          <t>Built</t>
        </is>
      </c>
      <c r="F14" s="9" t="inlineStr">
        <is>
          <t>Python (stdlib only), SEC EDGAR API, static JS</t>
        </is>
      </c>
      <c r="G14" s="10" t="inlineStr">
        <is>
          <t>pipeline/build_dataset.py</t>
        </is>
      </c>
      <c r="H14" s="8" t="n">
        <v>6</v>
      </c>
    </row>
    <row r="15" ht="92" customHeight="1">
      <c r="A15" s="4" t="inlineStr">
        <is>
          <t>project-2</t>
        </is>
      </c>
      <c r="B15" s="5" t="inlineStr">
        <is>
          <t>Contagion Observatory</t>
        </is>
      </c>
      <c r="C15" s="5" t="inlineStr">
        <is>
          <t>Measure which crypto-equity links actually TRANSMIT stress, and simulate what a shock to one asset does to the rest.</t>
        </is>
      </c>
      <c r="D15" s="5" t="inlineStr">
        <is>
          <t>Correlation is the wrong instrument: two assets can move together every day and transmit nothing — they share a factor. Edge strength weights TAIL DEPENDENCE at 0.65 — whether a pair fails together — which surfaces channels that ordinary correlation ranks as unremarkable.</t>
        </is>
      </c>
      <c r="E15" s="6" t="inlineStr">
        <is>
          <t>Built</t>
        </is>
      </c>
      <c r="F15" s="5" t="inlineStr">
        <is>
          <t>Python (stdlib only), Stooq, CoinGecko, SVG</t>
        </is>
      </c>
      <c r="G15" s="7" t="inlineStr">
        <is>
          <t>pipeline/build_dataset.py</t>
        </is>
      </c>
      <c r="H15" s="4" t="n">
        <v>5</v>
      </c>
    </row>
    <row r="16" ht="92" customHeight="1">
      <c r="A16" s="8" t="inlineStr">
        <is>
          <t>project-2</t>
        </is>
      </c>
      <c r="B16" s="9" t="inlineStr">
        <is>
          <t>Contract Audit</t>
        </is>
      </c>
      <c r="C16" s="9" t="inlineStr">
        <is>
          <t>Detect known Solidity vulnerability classes and report each one so a human auditor can confirm or dismiss it.</t>
        </is>
      </c>
      <c r="D16" s="9" t="inlineStr">
        <is>
          <t>Every finding states the conditions under which THAT DETECTOR IS WRONG. A tool that hides its failure modes costs more review time than it saves. Validated both ways: six planted bugs all caught at the right lines, and a safe contract with the same surface reports zero false positives.</t>
        </is>
      </c>
      <c r="E16" s="6" t="inlineStr">
        <is>
          <t>Built</t>
        </is>
      </c>
      <c r="F16" s="9" t="inlineStr">
        <is>
          <t>Python (stdlib only), Solidity static analysis</t>
        </is>
      </c>
      <c r="G16" s="10" t="inlineStr">
        <is>
          <t>analyzer/build_report.py</t>
        </is>
      </c>
      <c r="H16" s="8" t="n">
        <v>5</v>
      </c>
    </row>
    <row r="17" ht="92" customHeight="1">
      <c r="A17" s="4" t="inlineStr">
        <is>
          <t>roadmap</t>
        </is>
      </c>
      <c r="B17" s="5" t="inlineStr">
        <is>
          <t>Private Credit Data Provenance</t>
        </is>
      </c>
      <c r="C17" s="5" t="inlineStr">
        <is>
          <t>Extract terms from private credit documents where every extracted value carries a citation back to the source span.</t>
        </is>
      </c>
      <c r="D17" s="5" t="inlineStr">
        <is>
          <t>For a figure feeding a risk model or a regulatory filing, uncitable is unusable. LLM extraction produces a clean table and destroys the audit trail doing it.</t>
        </is>
      </c>
      <c r="E17" s="13" t="inlineStr">
        <is>
          <t>Planned</t>
        </is>
      </c>
      <c r="F17" s="5" t="inlineStr">
        <is>
          <t>— (scoping document only)</t>
        </is>
      </c>
      <c r="G17" s="7" t="inlineStr">
        <is>
          <t>roadmap/private-credit-data-provenance/README.md</t>
        </is>
      </c>
      <c r="H17" s="4" t="n">
        <v>0</v>
      </c>
    </row>
    <row r="18" ht="92" customHeight="1">
      <c r="A18" s="8" t="inlineStr">
        <is>
          <t>roadmap</t>
        </is>
      </c>
      <c r="B18" s="9" t="inlineStr">
        <is>
          <t>Tokenized Fixed-Income Analytics</t>
        </is>
      </c>
      <c r="C18" s="9" t="inlineStr">
        <is>
          <t>Measure liquidity, holder concentration, and redemption latency for tokenized debt from on-chain trade data.</t>
        </is>
      </c>
      <c r="D18" s="9" t="inlineStr">
        <is>
          <t>Conventional fixed-income analytics run against a new feed. Distinguishes realised secondary depth from wash volume, and observed redemption time from the prospectus.</t>
        </is>
      </c>
      <c r="E18" s="13" t="inlineStr">
        <is>
          <t>Planned</t>
        </is>
      </c>
      <c r="F18" s="9" t="inlineStr">
        <is>
          <t>— (scoping document only)</t>
        </is>
      </c>
      <c r="G18" s="10" t="inlineStr">
        <is>
          <t>roadmap/tokenized-fixed-income-analytics/README.md</t>
        </is>
      </c>
      <c r="H18" s="8" t="n">
        <v>0</v>
      </c>
    </row>
    <row r="19" ht="92" customHeight="1">
      <c r="A19" s="4" t="inlineStr">
        <is>
          <t>project-1/archive</t>
        </is>
      </c>
      <c r="B19" s="5" t="inlineStr">
        <is>
          <t>Investment Analysis Dashboard</t>
        </is>
      </c>
      <c r="C19" s="5" t="inlineStr">
        <is>
          <t>Investment dashboard with live market data and AI-generated commentary. Retired after the portfolio audit.</t>
        </is>
      </c>
      <c r="D19" s="5" t="inlineStr">
        <is>
          <t>The Trading Simulation Platform covered it — 26 endpoints against 4, with market summary and sector performance duplicated. Its two unique pieces were migrated rather than lost: advisory generation and four research pages.</t>
        </is>
      </c>
      <c r="E19" s="14" t="inlineStr">
        <is>
          <t>Retired</t>
        </is>
      </c>
      <c r="F19" s="5" t="inlineStr">
        <is>
          <t>Node.js, Express, Chart.js, Tailwind</t>
        </is>
      </c>
      <c r="G19" s="7" t="inlineStr">
        <is>
          <t>archive/trading-system-dashboard/</t>
        </is>
      </c>
      <c r="H19" s="4" t="n">
        <v>0</v>
      </c>
    </row>
    <row r="20" ht="92" customHeight="1">
      <c r="A20" s="8" t="inlineStr">
        <is>
          <t>project-1/reference</t>
        </is>
      </c>
      <c r="B20" s="9" t="inlineStr">
        <is>
          <t>Options Volatility Trading</t>
        </is>
      </c>
      <c r="C20" s="9" t="inlineStr">
        <is>
          <t>Long/short straddle volatility strategy against Interactive Brokers, with an alerting bot and Flask dashboard.</t>
        </is>
      </c>
      <c r="D20" s="9" t="inlineStr">
        <is>
          <t>NOT ORIGINAL WORK. MIT-licensed, Copyright (c) 2021 MCF Long Short — a group project from Union University's Masters in Computational Finance. Its ib_client/ is IBKR's official TWS API. Kept in reference/ so the distinction is structural, not a caveat.</t>
        </is>
      </c>
      <c r="E20" s="15" t="inlineStr">
        <is>
          <t>Third-party</t>
        </is>
      </c>
      <c r="F20" s="9" t="inlineStr">
        <is>
          <t>Python, Flask, IBKR TWS API</t>
        </is>
      </c>
      <c r="G20" s="10" t="inlineStr">
        <is>
          <t>reference/options-volatility-trading/</t>
        </is>
      </c>
      <c r="H20" s="8" t="n">
        <v>0</v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58" customWidth="1" min="4" max="4"/>
  </cols>
  <sheetData>
    <row r="1">
      <c r="A1" s="1" t="inlineStr">
        <is>
          <t>Counts by status</t>
        </is>
      </c>
    </row>
    <row r="2">
      <c r="A2" s="2" t="inlineStr">
        <is>
          <t>Every figure below is a COUNTIF over the Projects sheet, so it updates if that sheet changes.</t>
        </is>
      </c>
    </row>
    <row r="4">
      <c r="A4" s="3" t="inlineStr">
        <is>
          <t>Status</t>
        </is>
      </c>
      <c r="B4" s="3" t="inlineStr">
        <is>
          <t>Projects</t>
        </is>
      </c>
      <c r="C4" s="3" t="inlineStr">
        <is>
          <t>Source files</t>
        </is>
      </c>
    </row>
    <row r="5">
      <c r="A5" s="16" t="inlineStr">
        <is>
          <t>Built (live)</t>
        </is>
      </c>
      <c r="B5" s="4">
        <f>COUNTIF(Projects!$E$5:$E$20,A5)</f>
        <v/>
      </c>
      <c r="C5" s="4">
        <f>SUMIF(Projects!$E$5:$E$20,A5,Projects!$H$5:$H$20)</f>
        <v/>
      </c>
      <c r="D5" s="17" t="inlineStr">
        <is>
          <t>Deployed and refreshing on a schedule.</t>
        </is>
      </c>
    </row>
    <row r="6">
      <c r="A6" s="18" t="inlineStr">
        <is>
          <t>Built</t>
        </is>
      </c>
      <c r="B6" s="4">
        <f>COUNTIF(Projects!$E$5:$E$20,A6)</f>
        <v/>
      </c>
      <c r="C6" s="4">
        <f>SUMIF(Projects!$E$5:$E$20,A6,Projects!$H$5:$H$20)</f>
        <v/>
      </c>
      <c r="D6" s="17" t="inlineStr">
        <is>
          <t>Runnable code with a documented entry point.</t>
        </is>
      </c>
    </row>
    <row r="7">
      <c r="A7" s="19" t="inlineStr">
        <is>
          <t>Research</t>
        </is>
      </c>
      <c r="B7" s="4">
        <f>COUNTIF(Projects!$E$5:$E$20,A7)</f>
        <v/>
      </c>
      <c r="C7" s="4">
        <f>SUMIF(Projects!$E$5:$E$20,A7,Projects!$H$5:$H$20)</f>
        <v/>
      </c>
      <c r="D7" s="17" t="inlineStr">
        <is>
          <t>Paper or notebook; no runnable service.</t>
        </is>
      </c>
    </row>
    <row r="8">
      <c r="A8" s="20" t="inlineStr">
        <is>
          <t>Planned</t>
        </is>
      </c>
      <c r="B8" s="4">
        <f>COUNTIF(Projects!$E$5:$E$20,A8)</f>
        <v/>
      </c>
      <c r="C8" s="4">
        <f>SUMIF(Projects!$E$5:$E$20,A8,Projects!$H$5:$H$20)</f>
        <v/>
      </c>
      <c r="D8" s="17" t="inlineStr">
        <is>
          <t>Scoping document only — no implementation.</t>
        </is>
      </c>
    </row>
    <row r="9">
      <c r="A9" s="21" t="inlineStr">
        <is>
          <t>Retired</t>
        </is>
      </c>
      <c r="B9" s="4">
        <f>COUNTIF(Projects!$E$5:$E$20,A9)</f>
        <v/>
      </c>
      <c r="C9" s="4">
        <f>SUMIF(Projects!$E$5:$E$20,A9,Projects!$H$5:$H$20)</f>
        <v/>
      </c>
      <c r="D9" s="17" t="inlineStr">
        <is>
          <t>Superseded; kept for reference, not counted as current work.</t>
        </is>
      </c>
    </row>
    <row r="10">
      <c r="A10" s="22" t="inlineStr">
        <is>
          <t>Third-party</t>
        </is>
      </c>
      <c r="B10" s="4">
        <f>COUNTIF(Projects!$E$5:$E$20,A10)</f>
        <v/>
      </c>
      <c r="C10" s="4">
        <f>SUMIF(Projects!$E$5:$E$20,A10,Projects!$H$5:$H$20)</f>
        <v/>
      </c>
      <c r="D10" s="17" t="inlineStr">
        <is>
          <t>Not original work. Retained and labelled as reference.</t>
        </is>
      </c>
    </row>
    <row r="11">
      <c r="A11" s="23" t="inlineStr">
        <is>
          <t>Total</t>
        </is>
      </c>
      <c r="B11" s="23">
        <f>SUM(B5:B10)</f>
        <v/>
      </c>
      <c r="C11" s="23">
        <f>SUM(C5:C10)</f>
        <v/>
      </c>
    </row>
    <row r="13">
      <c r="A13" s="24" t="inlineStr">
        <is>
          <t>Deployable sites</t>
        </is>
      </c>
    </row>
    <row r="14">
      <c r="A14" s="17" t="inlineStr">
        <is>
          <t>Portfolio</t>
        </is>
      </c>
      <c r="B14" s="25" t="inlineStr">
        <is>
          <t>project-1/</t>
        </is>
      </c>
      <c r="C14" s="26" t="n"/>
      <c r="D14" s="17" t="inlineStr">
        <is>
          <t>Overview + 7 project pages + /giant-portfolio/</t>
        </is>
      </c>
    </row>
    <row r="15">
      <c r="A15" s="17" t="inlineStr">
        <is>
          <t>Trustworthy Systems</t>
        </is>
      </c>
      <c r="B15" s="25" t="inlineStr">
        <is>
          <t>project-2/</t>
        </is>
      </c>
      <c r="C15" s="26" t="n"/>
      <c r="D15" s="17" t="inlineStr">
        <is>
          <t>Landing + /filing-intelligence/ + /contagion/ + /contract-audit/</t>
        </is>
      </c>
    </row>
    <row r="17">
      <c r="A17" s="27" t="inlineStr">
        <is>
          <t>Note: sample data currently ships with Filing Intelligence and Contagion so both render before a live pull — fictional issuers in one, simulated series in the other, labelled on the page. Contract Audit analyses real Solidity from disk.</t>
        </is>
      </c>
    </row>
    <row r="18"/>
  </sheetData>
  <mergeCells count="2">
    <mergeCell ref="A17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2026-08-27T16:47:08Z</dcterms:created>
  <dcterms:modified xsi:type="dcterms:W3CDTF">2026-08-27T16:47:08Z</dcterms:modified>
</cp:coreProperties>
</file>